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<sst xmlns="http://schemas.openxmlformats.org/spreadsheetml/2006/main" count="71" uniqueCount="42">
  <si>
    <t xml:space="preserve">auto_abs_et_geom</t>
  </si>
  <si>
    <t xml:space="preserve">name</t>
  </si>
  <si>
    <t xml:space="preserve">energy [keV]</t>
  </si>
  <si>
    <t xml:space="preserve">pos_ref</t>
  </si>
  <si>
    <t xml:space="preserve">val</t>
  </si>
  <si>
    <t xml:space="preserve">sig</t>
  </si>
  <si>
    <t xml:space="preserve">fct_thickness</t>
  </si>
  <si>
    <t xml:space="preserve">fct_abs</t>
  </si>
  <si>
    <t xml:space="preserve">fct_abs_sig</t>
  </si>
  <si>
    <t xml:space="preserve">val_G2K (validation)</t>
  </si>
  <si>
    <t xml:space="preserve">Diff [%]</t>
  </si>
  <si>
    <t xml:space="preserve">In_PX_L1</t>
  </si>
  <si>
    <t xml:space="preserve">Fu_p13</t>
  </si>
  <si>
    <t xml:space="preserve">-</t>
  </si>
  <si>
    <t xml:space="preserve">python input3.py name=In pos=17.4 ep=0.05 rad=1.475 nrj=336.241   nrj_wgt=auto pop=2e10 omp=24 one_by_one=y</t>
  </si>
  <si>
    <t xml:space="preserve">extreme value</t>
  </si>
  <si>
    <t xml:space="preserve">python input3.py name=In pos=17.4 src_wgt=2.53822 rad=1.475 nrj=336.241  nrj_wgt=auto pop=2e10 omp=24 one_by_one=y plot=False </t>
  </si>
  <si>
    <t xml:space="preserve">python input3.py name=Fe pos=17.4 src_wgt=2.49037 rad=1.475 nrj=336.241  nrj_wgt=auto pop=2e10 omp=24 one_by_one=y plot=False </t>
  </si>
  <si>
    <t xml:space="preserve">python3.8 input3.py name=In pos=17.4 ep=0.05 rad=1.475 nrj=1293.56   nrj_wgt=auto pop=1e10 omp=16 one_by_one=y  do_calc=False dir=calc_petale</t>
  </si>
  <si>
    <t xml:space="preserve">Ni_PX_L1</t>
  </si>
  <si>
    <t xml:space="preserve">A relancer avec plus de stat ! :)     -----&gt;</t>
  </si>
  <si>
    <t xml:space="preserve">python3.8 input3.py name=Ni pos=17.4 ep=0.05 rad=1.475 nrj=810.7593  nrj_wgt=auto pop=1e10 omp=16 one_by_one=y  do_calc=False dir=calc_petale</t>
  </si>
  <si>
    <t xml:space="preserve">Au_PX_L1</t>
  </si>
  <si>
    <t xml:space="preserve">(c'est dans $petale_analysis/hpge/calc_selfabsngeom)</t>
  </si>
  <si>
    <t xml:space="preserve">python3.8 input3.py name=Au pos=17.4 ep=0.05 rad=1.475 nrj=411.8     nrj_wgt=auto pop=1e10 omp=16 one_by_one=y  do_calc=False dir=calc_petale</t>
  </si>
  <si>
    <t xml:space="preserve">diameter [cm]</t>
  </si>
  <si>
    <t xml:space="preserve">weight</t>
  </si>
  <si>
    <t xml:space="preserve">ratio_eff</t>
  </si>
  <si>
    <t xml:space="preserve">Au-Pni-in-rc-i</t>
  </si>
  <si>
    <t xml:space="preserve">Au-Pni-in-rp-i</t>
  </si>
  <si>
    <t xml:space="preserve">Ni-Pni-in-rc-i</t>
  </si>
  <si>
    <t xml:space="preserve">Ni-Pni-in-rp-i</t>
  </si>
  <si>
    <t xml:space="preserve">In-Pni-1-i    </t>
  </si>
  <si>
    <t xml:space="preserve">In-Pni-2-i    </t>
  </si>
  <si>
    <t xml:space="preserve">In-Pni-3-i    </t>
  </si>
  <si>
    <t xml:space="preserve">In-Pni-4-i    </t>
  </si>
  <si>
    <t xml:space="preserve">In-Pni-5-i    </t>
  </si>
  <si>
    <t xml:space="preserve">In-Pni-6-i    </t>
  </si>
  <si>
    <t xml:space="preserve">In-Pni-7-i    </t>
  </si>
  <si>
    <t xml:space="preserve">In-Pni-8-i    </t>
  </si>
  <si>
    <t xml:space="preserve">In-Pni-9-i    </t>
  </si>
  <si>
    <t xml:space="preserve">In-Pni-10-i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</si>
</sst>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D0BF69"/>
      <name val="Menlo"/>
      <family val="2"/>
      <charset val="1"/>
    </font>
    <font>
      <sz val="10"/>
      <color rgb="FF000000"/>
      <name val="Courier New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D0BF6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BF6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484375" defaultRowHeight="15" zeroHeight="false" outlineLevelRow="0" outlineLevelCol="0"/>
  <cols>
    <col collapsed="false" customWidth="true" hidden="false" outlineLevel="0" max="1" min="1" style="0" width="16.16"/>
    <col collapsed="false" customWidth="true" hidden="false" outlineLevel="0" max="2" min="2" style="0" width="12.33"/>
    <col collapsed="false" customWidth="true" hidden="false" outlineLevel="0" max="7" min="7" style="0" width="16.33"/>
    <col collapsed="false" customWidth="true" hidden="false" outlineLevel="0" max="9" min="8" style="0" width="9.83"/>
    <col collapsed="false" customWidth="true" hidden="false" outlineLevel="0" max="10" min="10" style="0" width="11.67"/>
    <col collapsed="false" customWidth="true" hidden="false" outlineLevel="0" max="11" min="11" style="0" width="18.15"/>
    <col collapsed="false" customWidth="true" hidden="false" outlineLevel="0" max="12" min="12" style="0" width="12"/>
    <col collapsed="false" customWidth="true" hidden="false" outlineLevel="0" max="15" min="14" style="0" width="8.67"/>
    <col collapsed="false" customWidth="true" hidden="false" outlineLevel="0" max="16" min="16" style="0" width="11.17"/>
    <col collapsed="false" customWidth="true" hidden="false" outlineLevel="0" max="18" min="17" style="0" width="8.67"/>
    <col collapsed="false" customWidth="true" hidden="false" outlineLevel="0" max="24" min="24" style="0" width="12.5"/>
  </cols>
  <sheetData>
    <row r="1" customFormat="false" ht="16.15" hidden="false" customHeight="false" outlineLevel="0" collapsed="false">
      <c r="C1" s="1"/>
    </row>
    <row r="3" customFormat="false" ht="15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  <c r="G3" s="0" t="s">
        <v>6</v>
      </c>
      <c r="H3" s="0" t="s">
        <v>7</v>
      </c>
      <c r="I3" s="0" t="s">
        <v>8</v>
      </c>
      <c r="K3" s="0" t="s">
        <v>9</v>
      </c>
      <c r="L3" s="0" t="s">
        <v>10</v>
      </c>
      <c r="N3" s="0" t="n">
        <f aca="false">2.95/2</f>
        <v>1.475</v>
      </c>
    </row>
    <row r="4" customFormat="false" ht="15" hidden="false" customHeight="false" outlineLevel="0" collapsed="false">
      <c r="B4" s="0" t="s">
        <v>11</v>
      </c>
      <c r="C4" s="0" t="n">
        <v>336.241</v>
      </c>
      <c r="D4" s="0" t="s">
        <v>12</v>
      </c>
      <c r="E4" s="2" t="n">
        <v>0.971017919846586</v>
      </c>
      <c r="F4" s="2" t="n">
        <v>0.000178519472502065</v>
      </c>
      <c r="G4" s="2" t="s">
        <v>13</v>
      </c>
      <c r="H4" s="2" t="s">
        <v>13</v>
      </c>
      <c r="I4" s="2" t="s">
        <v>13</v>
      </c>
      <c r="J4" s="2"/>
      <c r="K4" s="2" t="n">
        <f aca="false">F4/E4*100</f>
        <v>0.0183847763108501</v>
      </c>
      <c r="L4" s="2"/>
      <c r="M4" s="3" t="s">
        <v>14</v>
      </c>
      <c r="X4" s="0" t="s">
        <v>15</v>
      </c>
      <c r="Y4" s="4" t="n">
        <v>0.970477242469494</v>
      </c>
      <c r="Z4" s="0" t="n">
        <v>0.000178420070175724</v>
      </c>
      <c r="AA4" s="0" t="s">
        <v>16</v>
      </c>
      <c r="AB4" s="4" t="n">
        <v>0.976213306036242</v>
      </c>
      <c r="AC4" s="0" t="n">
        <v>0.000179474632631518</v>
      </c>
      <c r="AD4" s="0" t="s">
        <v>17</v>
      </c>
    </row>
    <row r="5" customFormat="false" ht="15" hidden="false" customHeight="false" outlineLevel="0" collapsed="false">
      <c r="B5" s="0" t="s">
        <v>11</v>
      </c>
      <c r="C5" s="0" t="n">
        <v>1293.56</v>
      </c>
      <c r="D5" s="0" t="s">
        <v>12</v>
      </c>
      <c r="E5" s="2" t="n">
        <v>0.984998748457149</v>
      </c>
      <c r="F5" s="2" t="n">
        <v>0.000410993604877083</v>
      </c>
      <c r="G5" s="2" t="s">
        <v>13</v>
      </c>
      <c r="H5" s="2" t="s">
        <v>13</v>
      </c>
      <c r="I5" s="2" t="s">
        <v>13</v>
      </c>
      <c r="J5" s="2"/>
      <c r="K5" s="2" t="n">
        <f aca="false">F5/E5*100</f>
        <v>0.0417252920900501</v>
      </c>
      <c r="L5" s="2"/>
      <c r="M5" s="3" t="s">
        <v>18</v>
      </c>
    </row>
    <row r="6" customFormat="false" ht="15" hidden="false" customHeight="false" outlineLevel="0" collapsed="false">
      <c r="B6" s="0" t="s">
        <v>19</v>
      </c>
      <c r="C6" s="0" t="n">
        <v>810.7593</v>
      </c>
      <c r="D6" s="0" t="s">
        <v>12</v>
      </c>
      <c r="E6" s="2" t="n">
        <v>0.979092449116863</v>
      </c>
      <c r="F6" s="2" t="n">
        <v>0.000346161455089539</v>
      </c>
      <c r="G6" s="2" t="s">
        <v>13</v>
      </c>
      <c r="H6" s="2" t="s">
        <v>13</v>
      </c>
      <c r="I6" s="2" t="s">
        <v>13</v>
      </c>
      <c r="J6" s="2" t="s">
        <v>20</v>
      </c>
      <c r="K6" s="2" t="n">
        <f aca="false">F6/E6*100</f>
        <v>0.0353553390593273</v>
      </c>
      <c r="L6" s="2"/>
      <c r="M6" s="3" t="s">
        <v>21</v>
      </c>
    </row>
    <row r="7" customFormat="false" ht="15" hidden="false" customHeight="false" outlineLevel="0" collapsed="false">
      <c r="B7" s="0" t="s">
        <v>22</v>
      </c>
      <c r="C7" s="0" t="n">
        <v>411.802</v>
      </c>
      <c r="D7" s="0" t="s">
        <v>12</v>
      </c>
      <c r="E7" s="2" t="s">
        <v>13</v>
      </c>
      <c r="F7" s="2" t="s">
        <v>13</v>
      </c>
      <c r="G7" s="5" t="n">
        <v>0.05</v>
      </c>
      <c r="H7" s="5" t="n">
        <v>0.907238835039577</v>
      </c>
      <c r="I7" s="5" t="n">
        <v>0.000250272977605417</v>
      </c>
      <c r="J7" s="2" t="s">
        <v>23</v>
      </c>
      <c r="K7" s="2" t="n">
        <f aca="false">I7/H7*100</f>
        <v>0.0275862284482673</v>
      </c>
      <c r="L7" s="2"/>
      <c r="M7" s="3" t="s">
        <v>24</v>
      </c>
    </row>
    <row r="10" customFormat="false" ht="15" hidden="false" customHeight="false" outlineLevel="0" collapsed="false">
      <c r="A10" s="0" t="s">
        <v>1</v>
      </c>
      <c r="B10" s="0" t="s">
        <v>25</v>
      </c>
      <c r="C10" s="0" t="s">
        <v>26</v>
      </c>
      <c r="D10" s="0" t="s">
        <v>27</v>
      </c>
    </row>
    <row r="12" customFormat="false" ht="15" hidden="false" customHeight="false" outlineLevel="0" collapsed="false">
      <c r="A12" s="6" t="s">
        <v>28</v>
      </c>
      <c r="B12" s="0" t="n">
        <v>2.95</v>
      </c>
      <c r="C12" s="6" t="n">
        <v>0.11924</v>
      </c>
      <c r="D12" s="0" t="s">
        <v>22</v>
      </c>
    </row>
    <row r="13" customFormat="false" ht="15" hidden="false" customHeight="false" outlineLevel="0" collapsed="false">
      <c r="A13" s="6" t="s">
        <v>29</v>
      </c>
      <c r="B13" s="0" t="n">
        <v>2.95</v>
      </c>
      <c r="C13" s="6" t="n">
        <v>0.11984</v>
      </c>
      <c r="D13" s="0" t="s">
        <v>22</v>
      </c>
    </row>
    <row r="14" customFormat="false" ht="15" hidden="false" customHeight="false" outlineLevel="0" collapsed="false">
      <c r="A14" s="6" t="s">
        <v>30</v>
      </c>
      <c r="B14" s="0" t="n">
        <v>2.95</v>
      </c>
      <c r="C14" s="6" t="n">
        <v>3.14264</v>
      </c>
      <c r="D14" s="0" t="s">
        <v>19</v>
      </c>
    </row>
    <row r="15" customFormat="false" ht="15" hidden="false" customHeight="false" outlineLevel="0" collapsed="false">
      <c r="A15" s="6" t="s">
        <v>31</v>
      </c>
      <c r="B15" s="0" t="n">
        <v>2.95</v>
      </c>
      <c r="C15" s="6" t="n">
        <v>3.12841</v>
      </c>
      <c r="D15" s="0" t="s">
        <v>19</v>
      </c>
    </row>
    <row r="16" customFormat="false" ht="15" hidden="false" customHeight="false" outlineLevel="0" collapsed="false">
      <c r="A16" s="6" t="s">
        <v>32</v>
      </c>
      <c r="B16" s="0" t="n">
        <v>2.95</v>
      </c>
      <c r="C16" s="6" t="n">
        <v>2.51325</v>
      </c>
      <c r="D16" s="0" t="s">
        <v>11</v>
      </c>
    </row>
    <row r="17" customFormat="false" ht="15" hidden="false" customHeight="false" outlineLevel="0" collapsed="false">
      <c r="A17" s="6" t="s">
        <v>33</v>
      </c>
      <c r="B17" s="0" t="n">
        <v>2.95</v>
      </c>
      <c r="C17" s="6" t="n">
        <v>2.53175</v>
      </c>
      <c r="D17" s="0" t="s">
        <v>11</v>
      </c>
    </row>
    <row r="18" customFormat="false" ht="15" hidden="false" customHeight="false" outlineLevel="0" collapsed="false">
      <c r="A18" s="6" t="s">
        <v>34</v>
      </c>
      <c r="B18" s="0" t="n">
        <v>2.95</v>
      </c>
      <c r="C18" s="6" t="n">
        <v>2.53822</v>
      </c>
      <c r="D18" s="0" t="s">
        <v>11</v>
      </c>
    </row>
    <row r="19" customFormat="false" ht="15" hidden="false" customHeight="false" outlineLevel="0" collapsed="false">
      <c r="A19" s="6" t="s">
        <v>35</v>
      </c>
      <c r="B19" s="0" t="n">
        <v>2.95</v>
      </c>
      <c r="C19" s="6" t="n">
        <v>2.50725</v>
      </c>
      <c r="D19" s="0" t="s">
        <v>11</v>
      </c>
    </row>
    <row r="20" customFormat="false" ht="15" hidden="false" customHeight="false" outlineLevel="0" collapsed="false">
      <c r="A20" s="6" t="s">
        <v>36</v>
      </c>
      <c r="B20" s="0" t="n">
        <v>2.95</v>
      </c>
      <c r="C20" s="6" t="n">
        <v>2.51741</v>
      </c>
      <c r="D20" s="0" t="s">
        <v>11</v>
      </c>
    </row>
    <row r="21" customFormat="false" ht="15" hidden="false" customHeight="false" outlineLevel="0" collapsed="false">
      <c r="A21" s="6" t="s">
        <v>37</v>
      </c>
      <c r="B21" s="0" t="n">
        <v>2.95</v>
      </c>
      <c r="C21" s="6" t="n">
        <v>2.51141</v>
      </c>
      <c r="D21" s="0" t="s">
        <v>11</v>
      </c>
    </row>
    <row r="22" customFormat="false" ht="15" hidden="false" customHeight="false" outlineLevel="0" collapsed="false">
      <c r="A22" s="6" t="s">
        <v>38</v>
      </c>
      <c r="B22" s="0" t="n">
        <v>2.95</v>
      </c>
      <c r="C22" s="6" t="n">
        <v>2.51018</v>
      </c>
      <c r="D22" s="0" t="s">
        <v>11</v>
      </c>
    </row>
    <row r="23" customFormat="false" ht="15" hidden="false" customHeight="false" outlineLevel="0" collapsed="false">
      <c r="A23" s="6" t="s">
        <v>39</v>
      </c>
      <c r="B23" s="0" t="n">
        <v>2.95</v>
      </c>
      <c r="C23" s="6" t="n">
        <v>2.53431</v>
      </c>
      <c r="D23" s="0" t="s">
        <v>11</v>
      </c>
    </row>
    <row r="24" customFormat="false" ht="15" hidden="false" customHeight="false" outlineLevel="0" collapsed="false">
      <c r="A24" s="6" t="s">
        <v>40</v>
      </c>
      <c r="B24" s="0" t="n">
        <v>2.95</v>
      </c>
      <c r="C24" s="6" t="n">
        <v>2.53121</v>
      </c>
      <c r="D24" s="0" t="s">
        <v>11</v>
      </c>
    </row>
    <row r="25" customFormat="false" ht="15" hidden="false" customHeight="false" outlineLevel="0" collapsed="false">
      <c r="A25" s="6" t="s">
        <v>41</v>
      </c>
      <c r="B25" s="0" t="n">
        <v>2.95</v>
      </c>
      <c r="C25" s="6" t="n">
        <v>2.50432</v>
      </c>
      <c r="D25" s="0" t="s">
        <v>11</v>
      </c>
    </row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2026-02-23T16:28:19Z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